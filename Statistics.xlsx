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hris\Documents\ETS\Cours\LOG430-ArchitectureLog\Lab\4\log430-la4\"/>
    </mc:Choice>
  </mc:AlternateContent>
  <xr:revisionPtr revIDLastSave="0" documentId="13_ncr:1_{E118BD44-805F-4DE6-AEAB-42133E03D19A}" xr6:coauthVersionLast="47" xr6:coauthVersionMax="47" xr10:uidLastSave="{00000000-0000-0000-0000-000000000000}"/>
  <bookViews>
    <workbookView minimized="1" xWindow="-12" yWindow="6828" windowWidth="23064" windowHeight="6864" activeTab="2" xr2:uid="{89BBF7AC-0B90-40E5-B1A3-7302ED503753}"/>
    <workbookView xWindow="-96" yWindow="6840" windowWidth="23232" windowHeight="6936" activeTab="2" xr2:uid="{B9D12060-3BF5-4A95-BA8F-4F5E63C26567}"/>
    <workbookView xWindow="-96" yWindow="0" windowWidth="23232" windowHeight="6936" activeTab="1" xr2:uid="{D8E57206-AE9D-41E1-9755-9CEE91DCD051}"/>
  </bookViews>
  <sheets>
    <sheet name="Initial" sheetId="1" r:id="rId1"/>
    <sheet name="Post add_order opt" sheetId="2" r:id="rId2"/>
    <sheet name="Post Redis Optimisation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" i="3" l="1"/>
  <c r="E6" i="3"/>
  <c r="G6" i="2"/>
  <c r="E6" i="2"/>
  <c r="C6" i="3"/>
  <c r="C6" i="2"/>
  <c r="C6" i="1"/>
  <c r="H6" i="3"/>
  <c r="F6" i="3"/>
  <c r="H6" i="2"/>
  <c r="F6" i="2"/>
  <c r="D6" i="3"/>
  <c r="D6" i="2"/>
  <c r="D6" i="1"/>
</calcChain>
</file>

<file path=xl/sharedStrings.xml><?xml version="1.0" encoding="utf-8"?>
<sst xmlns="http://schemas.openxmlformats.org/spreadsheetml/2006/main" count="106" uniqueCount="55">
  <si>
    <t>Type</t>
  </si>
  <si>
    <t>Name</t>
  </si>
  <si>
    <t># Requests</t>
  </si>
  <si>
    <t># Fails</t>
  </si>
  <si>
    <t>Median (ms)</t>
  </si>
  <si>
    <t>95%ile (ms)</t>
  </si>
  <si>
    <t>99%ile (ms)</t>
  </si>
  <si>
    <t>Average (ms)</t>
  </si>
  <si>
    <t>Min (ms)</t>
  </si>
  <si>
    <t>Max (ms)</t>
  </si>
  <si>
    <t>Average size (bytes)</t>
  </si>
  <si>
    <t>Current RPS</t>
  </si>
  <si>
    <t>Current Failures/s</t>
  </si>
  <si>
    <t>POST</t>
  </si>
  <si>
    <t>/orders</t>
  </si>
  <si>
    <t>15616.02</t>
  </si>
  <si>
    <t>72.56</t>
  </si>
  <si>
    <t>3.8</t>
  </si>
  <si>
    <t>GET</t>
  </si>
  <si>
    <t>/orders/reports/best-sellers</t>
  </si>
  <si>
    <t>209.94</t>
  </si>
  <si>
    <t>1658.93</t>
  </si>
  <si>
    <t>/orders/reports/highest-spenders</t>
  </si>
  <si>
    <t>106.58</t>
  </si>
  <si>
    <t>326.12</t>
  </si>
  <si>
    <t>Aggregated</t>
  </si>
  <si>
    <t>5858.46</t>
  </si>
  <si>
    <t>652.18</t>
  </si>
  <si>
    <t>8259.18</t>
  </si>
  <si>
    <t>109.6</t>
  </si>
  <si>
    <t>20.9</t>
  </si>
  <si>
    <t>175.75</t>
  </si>
  <si>
    <t>1049.12</t>
  </si>
  <si>
    <t>19.5</t>
  </si>
  <si>
    <t>117.47</t>
  </si>
  <si>
    <t>297.56</t>
  </si>
  <si>
    <t>17.9</t>
  </si>
  <si>
    <t>17.6</t>
  </si>
  <si>
    <t>2919.93</t>
  </si>
  <si>
    <t>484.25</t>
  </si>
  <si>
    <t>58.3</t>
  </si>
  <si>
    <t>57.5</t>
  </si>
  <si>
    <t>Taux erreurs requetes</t>
  </si>
  <si>
    <t>12150.98</t>
  </si>
  <si>
    <t>35.13</t>
  </si>
  <si>
    <t>7.7</t>
  </si>
  <si>
    <t>3061.69</t>
  </si>
  <si>
    <t>309.84</t>
  </si>
  <si>
    <t>5.9</t>
  </si>
  <si>
    <t>3140.4</t>
  </si>
  <si>
    <t>322.6</t>
  </si>
  <si>
    <t>4.2</t>
  </si>
  <si>
    <t>6535.64</t>
  </si>
  <si>
    <t>209.34</t>
  </si>
  <si>
    <t>17.8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</si>
</sst>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515151"/>
      </bottom>
      <diagonal/>
    </border>
    <border>
      <left/>
      <right/>
      <top style="medium">
        <color rgb="FF515151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2" fillId="0" borderId="1" xfId="0" applyFont="1" applyBorder="1" applyAlignment="1">
      <alignment horizontal="left" vertical="center" wrapText="1" indent="1"/>
    </xf>
    <xf numFmtId="0" fontId="1" fillId="2" borderId="1" xfId="0" applyFont="1" applyFill="1" applyBorder="1" applyAlignment="1">
      <alignment horizontal="left" vertical="center" wrapText="1" indent="1"/>
    </xf>
    <xf numFmtId="0" fontId="0" fillId="0" borderId="2" xfId="0" applyBorder="1" applyAlignment="1">
      <alignment horizontal="center" wrapText="1"/>
    </xf>
    <xf numFmtId="0" fontId="2" fillId="0" borderId="1" xfId="0" applyFont="1" applyBorder="1" applyAlignment="1">
      <alignment horizontal="left" vertical="center" indent="1"/>
    </xf>
    <xf numFmtId="0" fontId="0" fillId="2" borderId="0" xfId="0" applyFill="1" applyAlignment="1">
      <alignment horizontal="left" vertical="center" wrapText="1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5F804-BC31-4D65-B1CA-16455D76D1E3}">
  <dimension ref="A1:M7"/>
  <sheetViews>
    <sheetView workbookViewId="0">
      <selection activeCell="H22" sqref="H22"/>
    </sheetView>
    <sheetView workbookViewId="1"/>
    <sheetView workbookViewId="2"/>
  </sheetViews>
  <sheetFormatPr baseColWidth="10" defaultRowHeight="14.4" x14ac:dyDescent="0.3"/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t="s">
        <v>13</v>
      </c>
      <c r="B2" t="s">
        <v>14</v>
      </c>
      <c r="C2">
        <v>451</v>
      </c>
      <c r="D2">
        <v>446</v>
      </c>
      <c r="E2">
        <v>18</v>
      </c>
      <c r="F2">
        <v>60000</v>
      </c>
      <c r="G2">
        <v>60000</v>
      </c>
      <c r="H2" t="s">
        <v>15</v>
      </c>
      <c r="I2">
        <v>0</v>
      </c>
      <c r="J2">
        <v>60024</v>
      </c>
      <c r="K2" t="s">
        <v>16</v>
      </c>
      <c r="L2" t="s">
        <v>17</v>
      </c>
      <c r="M2" t="s">
        <v>17</v>
      </c>
    </row>
    <row r="3" spans="1:13" x14ac:dyDescent="0.3">
      <c r="A3" t="s">
        <v>18</v>
      </c>
      <c r="B3" t="s">
        <v>19</v>
      </c>
      <c r="C3">
        <v>385</v>
      </c>
      <c r="D3">
        <v>237</v>
      </c>
      <c r="E3">
        <v>120</v>
      </c>
      <c r="F3">
        <v>670</v>
      </c>
      <c r="G3">
        <v>950</v>
      </c>
      <c r="H3" t="s">
        <v>20</v>
      </c>
      <c r="I3">
        <v>14</v>
      </c>
      <c r="J3">
        <v>1062</v>
      </c>
      <c r="K3" t="s">
        <v>21</v>
      </c>
      <c r="L3">
        <v>0</v>
      </c>
      <c r="M3">
        <v>0</v>
      </c>
    </row>
    <row r="4" spans="1:13" x14ac:dyDescent="0.3">
      <c r="A4" t="s">
        <v>18</v>
      </c>
      <c r="B4" t="s">
        <v>22</v>
      </c>
      <c r="C4">
        <v>387</v>
      </c>
      <c r="D4">
        <v>233</v>
      </c>
      <c r="E4">
        <v>93</v>
      </c>
      <c r="F4">
        <v>330</v>
      </c>
      <c r="G4">
        <v>400</v>
      </c>
      <c r="H4" t="s">
        <v>23</v>
      </c>
      <c r="I4">
        <v>16</v>
      </c>
      <c r="J4">
        <v>444</v>
      </c>
      <c r="K4" t="s">
        <v>24</v>
      </c>
      <c r="L4">
        <v>0</v>
      </c>
      <c r="M4">
        <v>0</v>
      </c>
    </row>
    <row r="5" spans="1:13" x14ac:dyDescent="0.3">
      <c r="B5" t="s">
        <v>25</v>
      </c>
      <c r="C5">
        <v>1223</v>
      </c>
      <c r="D5">
        <v>916</v>
      </c>
      <c r="E5">
        <v>49</v>
      </c>
      <c r="F5">
        <v>60000</v>
      </c>
      <c r="G5">
        <v>60000</v>
      </c>
      <c r="H5" t="s">
        <v>26</v>
      </c>
      <c r="I5">
        <v>0</v>
      </c>
      <c r="J5">
        <v>60024</v>
      </c>
      <c r="K5" t="s">
        <v>27</v>
      </c>
      <c r="L5" t="s">
        <v>17</v>
      </c>
      <c r="M5" t="s">
        <v>17</v>
      </c>
    </row>
    <row r="6" spans="1:13" x14ac:dyDescent="0.3">
      <c r="B6" s="3" t="s">
        <v>42</v>
      </c>
      <c r="C6">
        <f>D2/C2</f>
        <v>0.98891352549889133</v>
      </c>
      <c r="D6" t="str">
        <f ca="1">_xlfn.FORMULATEXT(C6)</f>
        <v>=D2/C2</v>
      </c>
    </row>
    <row r="7" spans="1:13" x14ac:dyDescent="0.3">
      <c r="B7" s="3"/>
    </row>
  </sheetData>
  <mergeCells count="1">
    <mergeCell ref="B6:B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B368A-938B-4F0F-9B1B-997AE65079E1}">
  <dimension ref="A1:M7"/>
  <sheetViews>
    <sheetView workbookViewId="0">
      <selection activeCell="B6" sqref="B6:B7"/>
    </sheetView>
    <sheetView workbookViewId="1">
      <selection activeCell="E6" sqref="E6"/>
    </sheetView>
    <sheetView tabSelected="1" workbookViewId="2">
      <selection sqref="A1:XFD1"/>
    </sheetView>
  </sheetViews>
  <sheetFormatPr baseColWidth="10" defaultRowHeight="14.4" x14ac:dyDescent="0.3"/>
  <cols>
    <col min="2" max="2" width="28.21875" bestFit="1" customWidth="1"/>
    <col min="11" max="11" width="16.6640625" bestFit="1" customWidth="1"/>
  </cols>
  <sheetData>
    <row r="1" spans="1:13" s="9" customFormat="1" ht="28.8" x14ac:dyDescent="0.3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</row>
    <row r="2" spans="1:13" x14ac:dyDescent="0.3">
      <c r="A2" t="s">
        <v>13</v>
      </c>
      <c r="B2" t="s">
        <v>14</v>
      </c>
      <c r="C2">
        <v>819</v>
      </c>
      <c r="D2">
        <v>813</v>
      </c>
      <c r="E2">
        <v>13</v>
      </c>
      <c r="F2">
        <v>60000</v>
      </c>
      <c r="G2">
        <v>60000</v>
      </c>
      <c r="H2" t="s">
        <v>28</v>
      </c>
      <c r="I2">
        <v>0</v>
      </c>
      <c r="J2">
        <v>60020</v>
      </c>
      <c r="K2" t="s">
        <v>29</v>
      </c>
      <c r="L2" t="s">
        <v>30</v>
      </c>
      <c r="M2" t="s">
        <v>30</v>
      </c>
    </row>
    <row r="3" spans="1:13" x14ac:dyDescent="0.3">
      <c r="A3" t="s">
        <v>18</v>
      </c>
      <c r="B3" t="s">
        <v>19</v>
      </c>
      <c r="C3">
        <v>800</v>
      </c>
      <c r="D3">
        <v>627</v>
      </c>
      <c r="E3">
        <v>61</v>
      </c>
      <c r="F3">
        <v>470</v>
      </c>
      <c r="G3">
        <v>870</v>
      </c>
      <c r="H3" t="s">
        <v>31</v>
      </c>
      <c r="I3">
        <v>12</v>
      </c>
      <c r="J3">
        <v>1013</v>
      </c>
      <c r="K3" t="s">
        <v>32</v>
      </c>
      <c r="L3" t="s">
        <v>33</v>
      </c>
      <c r="M3">
        <v>19</v>
      </c>
    </row>
    <row r="4" spans="1:13" x14ac:dyDescent="0.3">
      <c r="A4" t="s">
        <v>18</v>
      </c>
      <c r="B4" t="s">
        <v>22</v>
      </c>
      <c r="C4">
        <v>777</v>
      </c>
      <c r="D4">
        <v>613</v>
      </c>
      <c r="E4">
        <v>64</v>
      </c>
      <c r="F4">
        <v>430</v>
      </c>
      <c r="G4">
        <v>610</v>
      </c>
      <c r="H4" t="s">
        <v>34</v>
      </c>
      <c r="I4">
        <v>11</v>
      </c>
      <c r="J4">
        <v>994</v>
      </c>
      <c r="K4" t="s">
        <v>35</v>
      </c>
      <c r="L4" t="s">
        <v>36</v>
      </c>
      <c r="M4" t="s">
        <v>37</v>
      </c>
    </row>
    <row r="5" spans="1:13" x14ac:dyDescent="0.3">
      <c r="B5" t="s">
        <v>25</v>
      </c>
      <c r="C5">
        <v>2396</v>
      </c>
      <c r="D5">
        <v>2053</v>
      </c>
      <c r="E5">
        <v>29</v>
      </c>
      <c r="F5">
        <v>1000</v>
      </c>
      <c r="G5">
        <v>60000</v>
      </c>
      <c r="H5" t="s">
        <v>38</v>
      </c>
      <c r="I5">
        <v>0</v>
      </c>
      <c r="J5">
        <v>60020</v>
      </c>
      <c r="K5" t="s">
        <v>39</v>
      </c>
      <c r="L5" t="s">
        <v>40</v>
      </c>
      <c r="M5" t="s">
        <v>41</v>
      </c>
    </row>
    <row r="6" spans="1:13" x14ac:dyDescent="0.3">
      <c r="B6" s="2" t="s">
        <v>42</v>
      </c>
      <c r="C6">
        <f>D2/C2</f>
        <v>0.9926739926739927</v>
      </c>
      <c r="D6" t="str">
        <f ca="1">_xlfn.FORMULATEXT(C6)</f>
        <v>=D2/C2</v>
      </c>
      <c r="E6">
        <f>D3/C3</f>
        <v>0.78374999999999995</v>
      </c>
      <c r="F6" t="str">
        <f ca="1">_xlfn.FORMULATEXT(E6)</f>
        <v>=D3/C3</v>
      </c>
      <c r="G6">
        <f>D4/C4</f>
        <v>0.78893178893178895</v>
      </c>
      <c r="H6" t="str">
        <f ca="1">_xlfn.FORMULATEXT(G6)</f>
        <v>=D4/C4</v>
      </c>
    </row>
    <row r="7" spans="1:13" x14ac:dyDescent="0.3">
      <c r="B7" s="2"/>
    </row>
  </sheetData>
  <mergeCells count="1">
    <mergeCell ref="B6:B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C9DEE-568F-44B5-BD42-176642209527}">
  <dimension ref="A1:M7"/>
  <sheetViews>
    <sheetView tabSelected="1" zoomScale="90" zoomScaleNormal="90" workbookViewId="0">
      <selection activeCell="E6" sqref="E6"/>
    </sheetView>
    <sheetView tabSelected="1" workbookViewId="1">
      <selection activeCell="N4" sqref="N4"/>
    </sheetView>
    <sheetView workbookViewId="2"/>
  </sheetViews>
  <sheetFormatPr baseColWidth="10" defaultRowHeight="14.4" x14ac:dyDescent="0.3"/>
  <cols>
    <col min="2" max="2" width="28.77734375" bestFit="1" customWidth="1"/>
  </cols>
  <sheetData>
    <row r="1" spans="1:13" ht="27" thickBot="1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pans="1:13" ht="15" thickBot="1" x14ac:dyDescent="0.35">
      <c r="A2" s="4" t="s">
        <v>13</v>
      </c>
      <c r="B2" s="4" t="s">
        <v>14</v>
      </c>
      <c r="C2" s="4">
        <v>492</v>
      </c>
      <c r="D2" s="4">
        <v>488</v>
      </c>
      <c r="E2" s="4">
        <v>590</v>
      </c>
      <c r="F2" s="4">
        <v>60000</v>
      </c>
      <c r="G2" s="4">
        <v>60000</v>
      </c>
      <c r="H2" s="4" t="s">
        <v>43</v>
      </c>
      <c r="I2" s="4">
        <v>0</v>
      </c>
      <c r="J2" s="4">
        <v>60009</v>
      </c>
      <c r="K2" s="4" t="s">
        <v>44</v>
      </c>
      <c r="L2" s="4" t="s">
        <v>45</v>
      </c>
      <c r="M2" s="4" t="s">
        <v>45</v>
      </c>
    </row>
    <row r="3" spans="1:13" ht="15" thickBot="1" x14ac:dyDescent="0.35">
      <c r="A3" s="4" t="s">
        <v>18</v>
      </c>
      <c r="B3" s="4" t="s">
        <v>19</v>
      </c>
      <c r="C3" s="4">
        <v>419</v>
      </c>
      <c r="D3" s="4">
        <v>265</v>
      </c>
      <c r="E3" s="4">
        <v>3200</v>
      </c>
      <c r="F3" s="4">
        <v>7300</v>
      </c>
      <c r="G3" s="4">
        <v>7600</v>
      </c>
      <c r="H3" s="4" t="s">
        <v>46</v>
      </c>
      <c r="I3" s="4">
        <v>4</v>
      </c>
      <c r="J3" s="4">
        <v>7693</v>
      </c>
      <c r="K3" s="4" t="s">
        <v>47</v>
      </c>
      <c r="L3" s="4" t="s">
        <v>48</v>
      </c>
      <c r="M3" s="4" t="s">
        <v>48</v>
      </c>
    </row>
    <row r="4" spans="1:13" ht="15" thickBot="1" x14ac:dyDescent="0.35">
      <c r="A4" s="4" t="s">
        <v>18</v>
      </c>
      <c r="B4" s="7" t="s">
        <v>22</v>
      </c>
      <c r="C4" s="4">
        <v>385</v>
      </c>
      <c r="D4" s="4">
        <v>241</v>
      </c>
      <c r="E4" s="4">
        <v>3400</v>
      </c>
      <c r="F4" s="4">
        <v>7300</v>
      </c>
      <c r="G4" s="4">
        <v>7600</v>
      </c>
      <c r="H4" s="4" t="s">
        <v>49</v>
      </c>
      <c r="I4" s="4">
        <v>4</v>
      </c>
      <c r="J4" s="4">
        <v>7671</v>
      </c>
      <c r="K4" s="4" t="s">
        <v>50</v>
      </c>
      <c r="L4" s="4" t="s">
        <v>51</v>
      </c>
      <c r="M4" s="4" t="s">
        <v>51</v>
      </c>
    </row>
    <row r="5" spans="1:13" ht="15" thickBot="1" x14ac:dyDescent="0.35">
      <c r="A5" s="4"/>
      <c r="B5" s="4" t="s">
        <v>25</v>
      </c>
      <c r="C5" s="4">
        <v>1296</v>
      </c>
      <c r="D5" s="4">
        <v>994</v>
      </c>
      <c r="E5" s="4">
        <v>790</v>
      </c>
      <c r="F5" s="4">
        <v>60000</v>
      </c>
      <c r="G5" s="4">
        <v>60000</v>
      </c>
      <c r="H5" s="4" t="s">
        <v>52</v>
      </c>
      <c r="I5" s="4">
        <v>0</v>
      </c>
      <c r="J5" s="4">
        <v>60009</v>
      </c>
      <c r="K5" s="4" t="s">
        <v>53</v>
      </c>
      <c r="L5" s="4" t="s">
        <v>54</v>
      </c>
      <c r="M5" s="4" t="s">
        <v>54</v>
      </c>
    </row>
    <row r="6" spans="1:13" x14ac:dyDescent="0.3">
      <c r="B6" s="6" t="s">
        <v>42</v>
      </c>
      <c r="C6">
        <f>D2/C2</f>
        <v>0.99186991869918695</v>
      </c>
      <c r="D6" t="str">
        <f ca="1">_xlfn.FORMULATEXT(C6)</f>
        <v>=D2/C2</v>
      </c>
      <c r="E6">
        <f>D3/C3</f>
        <v>0.63245823389021483</v>
      </c>
      <c r="F6" t="str">
        <f ca="1">_xlfn.FORMULATEXT(E6)</f>
        <v>=D3/C3</v>
      </c>
      <c r="G6">
        <f>D4/C4</f>
        <v>0.62597402597402596</v>
      </c>
      <c r="H6" t="str">
        <f ca="1">_xlfn.FORMULATEXT(G6)</f>
        <v>=D4/C4</v>
      </c>
    </row>
    <row r="7" spans="1:13" x14ac:dyDescent="0.3">
      <c r="B7" s="3"/>
    </row>
  </sheetData>
  <mergeCells count="1">
    <mergeCell ref="B6:B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Initial</vt:lpstr>
      <vt:lpstr>Post add_order opt</vt:lpstr>
      <vt:lpstr>Post Redis Optimisation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Berton, Chris-Emmanuel</dc:creator>
  <cp:lastModifiedBy>Berton, Chris-Emmanuel</cp:lastModifiedBy>
  <dcterms:created xsi:type="dcterms:W3CDTF">2026-06-10T20:20:48Z</dcterms:created>
  <dcterms:modified xsi:type="dcterms:W3CDTF">2026-06-12T22:40:56Z</dcterms:modified>
</cp:coreProperties>
</file>